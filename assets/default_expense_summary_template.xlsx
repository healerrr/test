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费用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<sst xmlns="http://schemas.openxmlformats.org/spreadsheetml/2006/main" count="47" uniqueCount="46">
  <si>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2026年5月费用审批汇总表（按部门×费用类型·不含税金额）</t>
  </si>
  <si>
    <t>费用所属部门</t>
  </si>
  <si>
    <t>业务招待费</t>
  </si>
  <si>
    <t>代收款支付</t>
  </si>
  <si>
    <t>其他往来付款</t>
  </si>
  <si>
    <t>其他费用</t>
  </si>
  <si>
    <t>办公费</t>
  </si>
  <si>
    <t>市内交通费</t>
  </si>
  <si>
    <t>市场推广宣传费</t>
  </si>
  <si>
    <t>检测费</t>
  </si>
  <si>
    <t>水电费</t>
  </si>
  <si>
    <t>汽车使用费</t>
  </si>
  <si>
    <t>物流费用</t>
  </si>
  <si>
    <t>研发费用</t>
  </si>
  <si>
    <t>福利费</t>
  </si>
  <si>
    <t>耗材</t>
  </si>
  <si>
    <t>费用预付款</t>
  </si>
  <si>
    <t>过港费</t>
  </si>
  <si>
    <t>采购付款</t>
  </si>
  <si>
    <t>销售退款</t>
  </si>
  <si>
    <t>合计</t>
  </si>
  <si>
    <t>001 总经办</t>
  </si>
  <si>
    <t>002 财务部</t>
  </si>
  <si>
    <t>003 行政部</t>
  </si>
  <si>
    <t>005 IT部</t>
  </si>
  <si>
    <t>006 体系中心</t>
  </si>
  <si>
    <t>007 研发部</t>
  </si>
  <si>
    <t>009 采购部</t>
  </si>
  <si>
    <t>010 一览项目部</t>
  </si>
  <si>
    <t>01101 美国项目部</t>
  </si>
  <si>
    <t>01102 外贸业务部</t>
  </si>
  <si>
    <t>012 印度市场部</t>
  </si>
  <si>
    <t>013 内贸部</t>
  </si>
  <si>
    <t>014 实验谷项目部</t>
  </si>
  <si>
    <t>015 检测分析部</t>
  </si>
  <si>
    <t>016 产品部</t>
  </si>
  <si>
    <t>018 仪器部</t>
  </si>
  <si>
    <t>019 仓储部-上海仓库</t>
  </si>
  <si>
    <t>020 仓储部-深圳仓库</t>
  </si>
  <si>
    <t>021 商务物流-对外组</t>
  </si>
  <si>
    <t>022 商务物流-对内组</t>
  </si>
  <si>
    <t>023 仓储部-淮安仓库</t>
  </si>
  <si>
    <t>024 未来化学部</t>
  </si>
  <si>
    <t>025 报关组</t>
  </si>
  <si>
    <t>026 外贸四部（德国）</t>
  </si>
  <si>
    <t>099 国内销售部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</si>
</sst>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N11" sqref="N11"/>
    </sheetView>
  </sheetViews>
  <sheetFormatPr defaultColWidth="9" defaultRowHeight="14.4"/>
  <cols>
    <col min="1" max="1" width="22" customWidth="1"/>
    <col min="2" max="20" width="16" customWidth="1"/>
  </cols>
  <sheetData>
    <row r="1" ht="30" customHeight="1" spans="1:20">
      <c r="A1" s="1" t="s">
        <v>0</v>
      </c>
    </row>
    <row r="2" ht="2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>
      <c r="A3" s="3" t="s">
        <v>21</v>
      </c>
      <c r="B3" s="4">
        <v>320.75</v>
      </c>
      <c r="C3" s="4">
        <v>0</v>
      </c>
      <c r="D3" s="4">
        <v>10000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5">
        <f t="shared" ref="T3:T27" si="0">SUM(B3:S3)</f>
        <v>10320.75</v>
      </c>
    </row>
    <row r="4" spans="1:20">
      <c r="A4" s="3" t="s">
        <v>22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67.74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1200</v>
      </c>
      <c r="O4" s="4">
        <v>0</v>
      </c>
      <c r="P4" s="4">
        <v>25790</v>
      </c>
      <c r="Q4" s="4">
        <v>0</v>
      </c>
      <c r="R4" s="4">
        <v>0</v>
      </c>
      <c r="S4" s="4">
        <v>0</v>
      </c>
      <c r="T4" s="5">
        <f t="shared" si="0"/>
        <v>27057.74</v>
      </c>
    </row>
    <row r="5" spans="1:20">
      <c r="A5" s="3" t="s">
        <v>23</v>
      </c>
      <c r="B5" s="4">
        <v>2398.6</v>
      </c>
      <c r="C5" s="4">
        <v>0</v>
      </c>
      <c r="D5" s="4">
        <v>0</v>
      </c>
      <c r="E5" s="4">
        <v>98.6</v>
      </c>
      <c r="F5" s="4">
        <v>0</v>
      </c>
      <c r="G5" s="4">
        <v>0</v>
      </c>
      <c r="H5" s="4">
        <v>0</v>
      </c>
      <c r="I5" s="4">
        <v>0</v>
      </c>
      <c r="J5" s="4">
        <v>8650.66</v>
      </c>
      <c r="K5" s="4">
        <v>0</v>
      </c>
      <c r="L5" s="4">
        <v>0</v>
      </c>
      <c r="M5" s="4">
        <v>0</v>
      </c>
      <c r="N5" s="4">
        <v>5965.29</v>
      </c>
      <c r="O5" s="4">
        <v>0</v>
      </c>
      <c r="P5" s="4">
        <v>38750</v>
      </c>
      <c r="Q5" s="4">
        <v>0</v>
      </c>
      <c r="R5" s="4">
        <v>0</v>
      </c>
      <c r="S5" s="4">
        <v>0</v>
      </c>
      <c r="T5" s="5">
        <f t="shared" si="0"/>
        <v>55863.15</v>
      </c>
    </row>
    <row r="6" spans="1:20">
      <c r="A6" s="3" t="s">
        <v>24</v>
      </c>
      <c r="B6" s="4">
        <v>0</v>
      </c>
      <c r="C6" s="4">
        <v>0</v>
      </c>
      <c r="D6" s="4">
        <v>0</v>
      </c>
      <c r="E6" s="4">
        <v>220</v>
      </c>
      <c r="F6" s="4">
        <v>331.08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1281.4</v>
      </c>
      <c r="O6" s="4">
        <v>1663.38</v>
      </c>
      <c r="P6" s="4">
        <v>0</v>
      </c>
      <c r="Q6" s="4">
        <v>0</v>
      </c>
      <c r="R6" s="4">
        <v>0</v>
      </c>
      <c r="S6" s="4">
        <v>0</v>
      </c>
      <c r="T6" s="5">
        <f t="shared" si="0"/>
        <v>3495.86</v>
      </c>
    </row>
    <row r="7" spans="1:20">
      <c r="A7" s="3" t="s">
        <v>25</v>
      </c>
      <c r="B7" s="4">
        <v>0</v>
      </c>
      <c r="C7" s="4">
        <v>0</v>
      </c>
      <c r="D7" s="4">
        <v>0</v>
      </c>
      <c r="E7" s="4">
        <v>1265.4</v>
      </c>
      <c r="F7" s="4">
        <v>799.77</v>
      </c>
      <c r="G7" s="4">
        <v>92</v>
      </c>
      <c r="H7" s="4">
        <v>0</v>
      </c>
      <c r="I7" s="4">
        <v>15023.87</v>
      </c>
      <c r="J7" s="4">
        <v>0</v>
      </c>
      <c r="K7" s="4">
        <v>0</v>
      </c>
      <c r="L7" s="4">
        <v>0</v>
      </c>
      <c r="M7" s="4">
        <v>0</v>
      </c>
      <c r="N7" s="4">
        <v>314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f t="shared" si="0"/>
        <v>17495.04</v>
      </c>
    </row>
    <row r="8" spans="1:20">
      <c r="A8" s="3" t="s">
        <v>26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21851.88</v>
      </c>
      <c r="J8" s="4">
        <v>0</v>
      </c>
      <c r="K8" s="4">
        <v>0</v>
      </c>
      <c r="L8" s="4">
        <v>1939.11</v>
      </c>
      <c r="M8" s="4">
        <v>285270.13</v>
      </c>
      <c r="N8" s="4">
        <v>8955.84</v>
      </c>
      <c r="O8" s="4">
        <v>0</v>
      </c>
      <c r="P8" s="4">
        <v>538332.9</v>
      </c>
      <c r="Q8" s="4">
        <v>0</v>
      </c>
      <c r="R8" s="4">
        <v>0</v>
      </c>
      <c r="S8" s="4">
        <v>0</v>
      </c>
      <c r="T8" s="5">
        <f t="shared" si="0"/>
        <v>856349.86</v>
      </c>
    </row>
    <row r="9" spans="1:20">
      <c r="A9" s="3" t="s">
        <v>27</v>
      </c>
      <c r="B9" s="4">
        <v>0</v>
      </c>
      <c r="C9" s="4">
        <v>0</v>
      </c>
      <c r="D9" s="4">
        <v>0</v>
      </c>
      <c r="E9" s="4">
        <v>6172.64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516.91</v>
      </c>
      <c r="O9" s="4">
        <v>0</v>
      </c>
      <c r="P9" s="4">
        <v>596</v>
      </c>
      <c r="Q9" s="4">
        <v>0</v>
      </c>
      <c r="R9" s="4">
        <v>2439055.66</v>
      </c>
      <c r="S9" s="4">
        <v>6000</v>
      </c>
      <c r="T9" s="5">
        <f t="shared" si="0"/>
        <v>2452341.21</v>
      </c>
    </row>
    <row r="10" spans="1:20">
      <c r="A10" s="3" t="s">
        <v>28</v>
      </c>
      <c r="B10" s="4">
        <v>835.98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336.5</v>
      </c>
      <c r="M10" s="4">
        <v>0</v>
      </c>
      <c r="N10" s="4">
        <v>0</v>
      </c>
      <c r="O10" s="4">
        <v>0</v>
      </c>
      <c r="P10" s="4">
        <v>4100</v>
      </c>
      <c r="Q10" s="4">
        <v>0</v>
      </c>
      <c r="R10" s="4">
        <v>0</v>
      </c>
      <c r="S10" s="4">
        <v>0</v>
      </c>
      <c r="T10" s="5">
        <f t="shared" si="0"/>
        <v>5272.48</v>
      </c>
    </row>
    <row r="11" spans="1:20">
      <c r="A11" s="3" t="s">
        <v>29</v>
      </c>
      <c r="B11" s="4">
        <v>0</v>
      </c>
      <c r="C11" s="4">
        <v>0</v>
      </c>
      <c r="D11" s="4">
        <v>0</v>
      </c>
      <c r="E11" s="4">
        <v>884.96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1610</v>
      </c>
      <c r="O11" s="4">
        <v>0</v>
      </c>
      <c r="P11" s="4">
        <v>21889</v>
      </c>
      <c r="Q11" s="4">
        <v>0</v>
      </c>
      <c r="R11" s="4">
        <v>0</v>
      </c>
      <c r="S11" s="4">
        <v>0</v>
      </c>
      <c r="T11" s="5">
        <f t="shared" si="0"/>
        <v>24383.96</v>
      </c>
    </row>
    <row r="12" spans="1:20">
      <c r="A12" s="3" t="s">
        <v>30</v>
      </c>
      <c r="B12" s="4">
        <v>314.8</v>
      </c>
      <c r="C12" s="4">
        <v>600</v>
      </c>
      <c r="D12" s="4">
        <v>0</v>
      </c>
      <c r="E12" s="4">
        <v>0</v>
      </c>
      <c r="F12" s="4">
        <v>0</v>
      </c>
      <c r="G12" s="4">
        <v>18</v>
      </c>
      <c r="H12" s="4">
        <v>744</v>
      </c>
      <c r="I12" s="4">
        <v>0</v>
      </c>
      <c r="J12" s="4">
        <v>0</v>
      </c>
      <c r="K12" s="4">
        <v>0</v>
      </c>
      <c r="L12" s="4">
        <v>142066.11</v>
      </c>
      <c r="M12" s="4">
        <v>0</v>
      </c>
      <c r="N12" s="4">
        <v>0</v>
      </c>
      <c r="O12" s="4">
        <v>0</v>
      </c>
      <c r="P12" s="4">
        <v>7439.7</v>
      </c>
      <c r="Q12" s="4">
        <v>0</v>
      </c>
      <c r="R12" s="4">
        <v>0</v>
      </c>
      <c r="S12" s="4">
        <v>0</v>
      </c>
      <c r="T12" s="5">
        <f t="shared" si="0"/>
        <v>151182.61</v>
      </c>
    </row>
    <row r="13" spans="1:20">
      <c r="A13" s="3" t="s">
        <v>31</v>
      </c>
      <c r="B13" s="4">
        <v>0</v>
      </c>
      <c r="C13" s="4">
        <v>0</v>
      </c>
      <c r="D13" s="4">
        <v>0</v>
      </c>
      <c r="E13" s="4">
        <v>18080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970</v>
      </c>
      <c r="P13" s="4">
        <v>0</v>
      </c>
      <c r="Q13" s="4">
        <v>0</v>
      </c>
      <c r="R13" s="4">
        <v>0</v>
      </c>
      <c r="S13" s="4">
        <v>0</v>
      </c>
      <c r="T13" s="5">
        <f t="shared" si="0"/>
        <v>19050</v>
      </c>
    </row>
    <row r="14" spans="1:20">
      <c r="A14" s="3" t="s">
        <v>32</v>
      </c>
      <c r="B14" s="4">
        <v>1613.65</v>
      </c>
      <c r="C14" s="4">
        <v>0</v>
      </c>
      <c r="D14" s="4">
        <v>0</v>
      </c>
      <c r="E14" s="4">
        <v>3635.49</v>
      </c>
      <c r="F14" s="4">
        <v>238</v>
      </c>
      <c r="G14" s="4">
        <v>0</v>
      </c>
      <c r="H14" s="4">
        <v>0</v>
      </c>
      <c r="I14" s="4">
        <v>0</v>
      </c>
      <c r="J14" s="4">
        <v>0</v>
      </c>
      <c r="K14" s="4">
        <v>436.8</v>
      </c>
      <c r="L14" s="4">
        <v>229.15</v>
      </c>
      <c r="M14" s="4">
        <v>0</v>
      </c>
      <c r="N14" s="4">
        <v>0</v>
      </c>
      <c r="O14" s="4">
        <v>0</v>
      </c>
      <c r="P14" s="4">
        <v>35635.76</v>
      </c>
      <c r="Q14" s="4">
        <v>0</v>
      </c>
      <c r="R14" s="4">
        <v>0</v>
      </c>
      <c r="S14" s="4">
        <v>7022</v>
      </c>
      <c r="T14" s="5">
        <f t="shared" si="0"/>
        <v>48810.85</v>
      </c>
    </row>
    <row r="15" spans="1:20">
      <c r="A15" s="3" t="s">
        <v>33</v>
      </c>
      <c r="B15" s="4">
        <v>65</v>
      </c>
      <c r="C15" s="4">
        <v>0</v>
      </c>
      <c r="D15" s="4">
        <v>0</v>
      </c>
      <c r="E15" s="4">
        <v>200.48</v>
      </c>
      <c r="F15" s="4">
        <v>0</v>
      </c>
      <c r="G15" s="4">
        <v>0</v>
      </c>
      <c r="H15" s="4">
        <v>0</v>
      </c>
      <c r="I15" s="4">
        <v>427640.57</v>
      </c>
      <c r="J15" s="4">
        <v>0</v>
      </c>
      <c r="K15" s="4">
        <v>0</v>
      </c>
      <c r="L15" s="4">
        <v>12497.46</v>
      </c>
      <c r="M15" s="4">
        <v>0</v>
      </c>
      <c r="N15" s="4">
        <v>0</v>
      </c>
      <c r="O15" s="4">
        <v>0</v>
      </c>
      <c r="P15" s="4">
        <v>263.84</v>
      </c>
      <c r="Q15" s="4">
        <v>0</v>
      </c>
      <c r="R15" s="4">
        <v>530000</v>
      </c>
      <c r="S15" s="4">
        <v>0</v>
      </c>
      <c r="T15" s="5">
        <f t="shared" si="0"/>
        <v>970667.35</v>
      </c>
    </row>
    <row r="16" spans="1:20">
      <c r="A16" s="3" t="s">
        <v>34</v>
      </c>
      <c r="B16" s="4">
        <v>0</v>
      </c>
      <c r="C16" s="4">
        <v>0</v>
      </c>
      <c r="D16" s="4">
        <v>0</v>
      </c>
      <c r="E16" s="4">
        <v>28160.97</v>
      </c>
      <c r="F16" s="4">
        <v>0</v>
      </c>
      <c r="G16" s="4">
        <v>0</v>
      </c>
      <c r="H16" s="4">
        <v>0</v>
      </c>
      <c r="I16" s="4">
        <v>5861.39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951.1</v>
      </c>
      <c r="Q16" s="4">
        <v>0</v>
      </c>
      <c r="R16" s="4">
        <v>0</v>
      </c>
      <c r="S16" s="4">
        <v>0</v>
      </c>
      <c r="T16" s="5">
        <f t="shared" si="0"/>
        <v>34973.46</v>
      </c>
    </row>
    <row r="17" spans="1:20">
      <c r="A17" s="3" t="s">
        <v>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242.8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f t="shared" si="0"/>
        <v>242.8</v>
      </c>
    </row>
    <row r="18" spans="1:20">
      <c r="A18" s="3" t="s">
        <v>36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216.33</v>
      </c>
      <c r="M18" s="4">
        <v>0</v>
      </c>
      <c r="N18" s="4">
        <v>0</v>
      </c>
      <c r="O18" s="4">
        <v>0</v>
      </c>
      <c r="P18" s="4">
        <v>5940.86</v>
      </c>
      <c r="Q18" s="4">
        <v>0</v>
      </c>
      <c r="R18" s="4">
        <v>332177.77</v>
      </c>
      <c r="S18" s="4">
        <v>0</v>
      </c>
      <c r="T18" s="5">
        <f t="shared" si="0"/>
        <v>338334.96</v>
      </c>
    </row>
    <row r="19" spans="1:20">
      <c r="A19" s="3" t="s">
        <v>37</v>
      </c>
      <c r="B19" s="4">
        <v>0</v>
      </c>
      <c r="C19" s="4">
        <v>0</v>
      </c>
      <c r="D19" s="4">
        <v>0</v>
      </c>
      <c r="E19" s="4">
        <v>6572.5</v>
      </c>
      <c r="F19" s="4">
        <v>0</v>
      </c>
      <c r="G19" s="4">
        <v>0</v>
      </c>
      <c r="H19" s="4">
        <v>0</v>
      </c>
      <c r="I19" s="4">
        <v>0</v>
      </c>
      <c r="J19" s="4">
        <v>27554</v>
      </c>
      <c r="K19" s="4">
        <v>0</v>
      </c>
      <c r="L19" s="4">
        <v>1366.21</v>
      </c>
      <c r="M19" s="4">
        <v>0</v>
      </c>
      <c r="N19" s="4">
        <v>845.9</v>
      </c>
      <c r="O19" s="4">
        <v>152261.88</v>
      </c>
      <c r="P19" s="4">
        <v>46196.44</v>
      </c>
      <c r="Q19" s="4">
        <v>0</v>
      </c>
      <c r="R19" s="4">
        <v>0</v>
      </c>
      <c r="S19" s="4">
        <v>0</v>
      </c>
      <c r="T19" s="5">
        <f t="shared" si="0"/>
        <v>234796.93</v>
      </c>
    </row>
    <row r="20" spans="1:20">
      <c r="A20" s="3" t="s">
        <v>38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102.5</v>
      </c>
      <c r="M20" s="4">
        <v>0</v>
      </c>
      <c r="N20" s="4">
        <v>1400</v>
      </c>
      <c r="O20" s="4">
        <v>0</v>
      </c>
      <c r="P20" s="4">
        <v>64947</v>
      </c>
      <c r="Q20" s="4">
        <v>0</v>
      </c>
      <c r="R20" s="4">
        <v>0</v>
      </c>
      <c r="S20" s="4">
        <v>0</v>
      </c>
      <c r="T20" s="5">
        <f t="shared" si="0"/>
        <v>66449.5</v>
      </c>
    </row>
    <row r="21" spans="1:20">
      <c r="A21" s="3" t="s">
        <v>39</v>
      </c>
      <c r="B21" s="4">
        <v>0</v>
      </c>
      <c r="C21" s="4">
        <v>0</v>
      </c>
      <c r="D21" s="4">
        <v>0</v>
      </c>
      <c r="E21" s="4">
        <v>590.49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254789.02</v>
      </c>
      <c r="M21" s="4">
        <v>0</v>
      </c>
      <c r="N21" s="4">
        <v>1300</v>
      </c>
      <c r="O21" s="4">
        <v>0</v>
      </c>
      <c r="P21" s="4">
        <v>18230</v>
      </c>
      <c r="Q21" s="4">
        <v>0</v>
      </c>
      <c r="R21" s="4">
        <v>0</v>
      </c>
      <c r="S21" s="4">
        <v>0</v>
      </c>
      <c r="T21" s="5">
        <f t="shared" si="0"/>
        <v>274909.51</v>
      </c>
    </row>
    <row r="22" spans="1:20">
      <c r="A22" s="3" t="s">
        <v>40</v>
      </c>
      <c r="B22" s="4">
        <v>0</v>
      </c>
      <c r="C22" s="4">
        <v>4196</v>
      </c>
      <c r="D22" s="4">
        <v>0</v>
      </c>
      <c r="E22" s="4">
        <v>1426.17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306760.14</v>
      </c>
      <c r="M22" s="4">
        <v>0</v>
      </c>
      <c r="N22" s="4">
        <v>0</v>
      </c>
      <c r="O22" s="4">
        <v>0</v>
      </c>
      <c r="P22" s="4">
        <v>7838</v>
      </c>
      <c r="Q22" s="4">
        <v>3435.5</v>
      </c>
      <c r="R22" s="4">
        <v>0</v>
      </c>
      <c r="S22" s="4">
        <v>0</v>
      </c>
      <c r="T22" s="5">
        <f t="shared" si="0"/>
        <v>323655.81</v>
      </c>
    </row>
    <row r="23" spans="1:20">
      <c r="A23" s="3" t="s">
        <v>41</v>
      </c>
      <c r="B23" s="4">
        <v>0</v>
      </c>
      <c r="C23" s="4">
        <v>0</v>
      </c>
      <c r="D23" s="4">
        <v>0</v>
      </c>
      <c r="E23" s="4">
        <v>103257.43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9225.95</v>
      </c>
      <c r="M23" s="4">
        <v>0</v>
      </c>
      <c r="N23" s="4">
        <v>0</v>
      </c>
      <c r="O23" s="4">
        <v>3360</v>
      </c>
      <c r="P23" s="4">
        <v>0</v>
      </c>
      <c r="Q23" s="4">
        <v>0</v>
      </c>
      <c r="R23" s="4">
        <v>0</v>
      </c>
      <c r="S23" s="4">
        <v>0</v>
      </c>
      <c r="T23" s="5">
        <f t="shared" si="0"/>
        <v>115843.38</v>
      </c>
    </row>
    <row r="24" spans="1:20">
      <c r="A24" s="3" t="s">
        <v>42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150000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f t="shared" si="0"/>
        <v>150000</v>
      </c>
    </row>
    <row r="25" spans="1:20">
      <c r="A25" s="3" t="s">
        <v>43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2700</v>
      </c>
      <c r="Q25" s="4">
        <v>0</v>
      </c>
      <c r="R25" s="4">
        <v>0</v>
      </c>
      <c r="S25" s="4">
        <v>0</v>
      </c>
      <c r="T25" s="5">
        <f t="shared" si="0"/>
        <v>2700</v>
      </c>
    </row>
    <row r="26" spans="1:20">
      <c r="A26" s="3" t="s">
        <v>44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18938.05</v>
      </c>
      <c r="P26" s="4">
        <v>0</v>
      </c>
      <c r="Q26" s="4">
        <v>0</v>
      </c>
      <c r="R26" s="4">
        <v>0</v>
      </c>
      <c r="S26" s="4">
        <v>0</v>
      </c>
      <c r="T26" s="5">
        <f t="shared" si="0"/>
        <v>18938.05</v>
      </c>
    </row>
    <row r="27" spans="1:20">
      <c r="A27" s="3" t="s">
        <v>45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687687.98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5">
        <f t="shared" si="0"/>
        <v>687687.98</v>
      </c>
    </row>
    <row r="28" spans="1:20">
      <c r="A28" s="6" t="s">
        <v>20</v>
      </c>
      <c r="B28" s="5">
        <f t="shared" ref="B28:T28" si="1">SUM(B3:B27)</f>
        <v>5548.78</v>
      </c>
      <c r="C28" s="5">
        <f t="shared" si="1"/>
        <v>4796</v>
      </c>
      <c r="D28" s="5">
        <f t="shared" si="1"/>
        <v>10000</v>
      </c>
      <c r="E28" s="5">
        <f t="shared" si="1"/>
        <v>170565.13</v>
      </c>
      <c r="F28" s="5">
        <f t="shared" si="1"/>
        <v>1368.85</v>
      </c>
      <c r="G28" s="5">
        <f t="shared" si="1"/>
        <v>177.74</v>
      </c>
      <c r="H28" s="5">
        <f t="shared" si="1"/>
        <v>744</v>
      </c>
      <c r="I28" s="5">
        <f t="shared" si="1"/>
        <v>470377.71</v>
      </c>
      <c r="J28" s="5">
        <f t="shared" si="1"/>
        <v>36204.66</v>
      </c>
      <c r="K28" s="5">
        <f t="shared" si="1"/>
        <v>436.8</v>
      </c>
      <c r="L28" s="5">
        <f t="shared" si="1"/>
        <v>1417216.46</v>
      </c>
      <c r="M28" s="5">
        <f t="shared" si="1"/>
        <v>435270.13</v>
      </c>
      <c r="N28" s="5">
        <f t="shared" si="1"/>
        <v>23632.14</v>
      </c>
      <c r="O28" s="5">
        <f t="shared" si="1"/>
        <v>177193.31</v>
      </c>
      <c r="P28" s="5">
        <f t="shared" si="1"/>
        <v>819600.6</v>
      </c>
      <c r="Q28" s="5">
        <f t="shared" si="1"/>
        <v>3435.5</v>
      </c>
      <c r="R28" s="5">
        <f t="shared" si="1"/>
        <v>3301233.43</v>
      </c>
      <c r="S28" s="5">
        <f t="shared" si="1"/>
        <v>13022</v>
      </c>
      <c r="T28" s="5">
        <f t="shared" si="1"/>
        <v>6890823.24</v>
      </c>
    </row>
  </sheetData>
  <mergeCells count="1">
    <mergeCell ref="A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雨过～天晴</cp:lastModifiedBy>
  <dcterms:created xsi:type="dcterms:W3CDTF">2026-06-15T07:35:00Z</dcterms:created>
  <dcterms:modified xsi:type="dcterms:W3CDTF">2026-06-15T07:40:10Z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1BE94334ED804F2AA0C724819656BD80_12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